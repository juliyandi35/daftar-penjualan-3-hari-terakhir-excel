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Daftar Penjualan 3 hari terakhir DL Senin\"/>
    </mc:Choice>
  </mc:AlternateContent>
  <xr:revisionPtr revIDLastSave="0" documentId="13_ncr:1_{77D948CF-5477-4219-9651-0E0693A66CE4}" xr6:coauthVersionLast="47" xr6:coauthVersionMax="47" xr10:uidLastSave="{00000000-0000-0000-0000-000000000000}"/>
  <bookViews>
    <workbookView xWindow="-110" yWindow="-110" windowWidth="19420" windowHeight="10300" activeTab="1" xr2:uid="{B4D1BD75-1462-4BFC-9ED5-3F389A333AA3}"/>
  </bookViews>
  <sheets>
    <sheet name="Soal" sheetId="2" r:id="rId1"/>
    <sheet name="Jawaban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I18" i="1"/>
  <c r="J18" i="1"/>
  <c r="K18" i="1"/>
  <c r="L18" i="1"/>
  <c r="M18" i="1"/>
  <c r="N18" i="1"/>
  <c r="H17" i="1"/>
  <c r="I17" i="1"/>
  <c r="J17" i="1"/>
  <c r="K17" i="1"/>
  <c r="L17" i="1"/>
  <c r="M17" i="1"/>
  <c r="N1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G18" i="1"/>
  <c r="G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<sst xmlns="http://schemas.openxmlformats.org/spreadsheetml/2006/main" count="153" uniqueCount="38">
  <si>
    <t>No</t>
  </si>
  <si>
    <t>Tanggal</t>
  </si>
  <si>
    <t>Kode Pelanggan</t>
  </si>
  <si>
    <t>Nama Pelanggan</t>
  </si>
  <si>
    <t>Kode Produk</t>
  </si>
  <si>
    <t>Nama Produk</t>
  </si>
  <si>
    <t>Qty</t>
  </si>
  <si>
    <t>NF-01</t>
  </si>
  <si>
    <t>AN-02</t>
  </si>
  <si>
    <t>CT-03</t>
  </si>
  <si>
    <t>B-05</t>
  </si>
  <si>
    <t>B-10</t>
  </si>
  <si>
    <t>P-05</t>
  </si>
  <si>
    <t>P-10</t>
  </si>
  <si>
    <t>Total</t>
  </si>
  <si>
    <t>Rata-rata Harian</t>
  </si>
  <si>
    <t>Harga Satuan</t>
  </si>
  <si>
    <t>Total Penjualan</t>
  </si>
  <si>
    <t>Diskon</t>
  </si>
  <si>
    <t>Penjualan Bersih</t>
  </si>
  <si>
    <t>Modal Satuan</t>
  </si>
  <si>
    <t xml:space="preserve">Modal Bersih </t>
  </si>
  <si>
    <t>Laba-Rugi</t>
  </si>
  <si>
    <t>Kode</t>
  </si>
  <si>
    <t>Nama</t>
  </si>
  <si>
    <t>Nandya Fikri</t>
  </si>
  <si>
    <t>Anton Umar</t>
  </si>
  <si>
    <t>Chairul Tan</t>
  </si>
  <si>
    <t>Bodrex 1 Box</t>
  </si>
  <si>
    <t>Biogesic 1 Box</t>
  </si>
  <si>
    <t>Panadol 1 Box</t>
  </si>
  <si>
    <t>Paramex 1 Box</t>
  </si>
  <si>
    <t>Row Labels</t>
  </si>
  <si>
    <t>Grand Total</t>
  </si>
  <si>
    <t>Sum of Penjualan Bersih</t>
  </si>
  <si>
    <t>Sum of Qty</t>
  </si>
  <si>
    <t>Sum of Harga Satuan</t>
  </si>
  <si>
    <t>Sum of Laba-Rugi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</si>
</sst>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0" fillId="0" borderId="1" xfId="0" applyBorder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 YANDI RAHMAN" refreshedDate="45033.854153356478" createdVersion="8" refreshedVersion="8" minRefreshableVersion="3" recordCount="15" xr:uid="{2C21B0C0-3E3B-460D-8F52-8D8F8A280AF9}">
  <cacheSource type="worksheet">
    <worksheetSource ref="A1:N16" sheet="Jawaban"/>
  </cacheSource>
  <cacheFields count="14">
    <cacheField name="No" numFmtId="0">
      <sharedItems containsSemiMixedTypes="0" containsString="0" containsNumber="1" containsInteger="1" minValue="1" maxValue="15"/>
    </cacheField>
    <cacheField name="Tanggal" numFmtId="16">
      <sharedItems containsSemiMixedTypes="0" containsNonDate="0" containsDate="1" containsString="0" minDate="2023-08-01T00:00:00" maxDate="2023-08-04T00:00:00"/>
    </cacheField>
    <cacheField name="Kode Pelanggan" numFmtId="0">
      <sharedItems/>
    </cacheField>
    <cacheField name="Nama Pelanggan" numFmtId="0">
      <sharedItems count="3">
        <s v="Nandya Fikri"/>
        <s v="Anton Umar"/>
        <s v="Chairul Tan"/>
      </sharedItems>
    </cacheField>
    <cacheField name="Kode Produk" numFmtId="0">
      <sharedItems/>
    </cacheField>
    <cacheField name="Nama Produk" numFmtId="0">
      <sharedItems count="4">
        <s v="Bodrex 1 Box"/>
        <s v="Biogesic 1 Box"/>
        <s v="Panadol 1 Box"/>
        <s v="Paramex 1 Box"/>
      </sharedItems>
    </cacheField>
    <cacheField name="Qty" numFmtId="0">
      <sharedItems containsSemiMixedTypes="0" containsString="0" containsNumber="1" containsInteger="1" minValue="120" maxValue="790" count="14">
        <n v="340"/>
        <n v="140"/>
        <n v="560"/>
        <n v="230"/>
        <n v="770"/>
        <n v="780"/>
        <n v="300"/>
        <n v="790"/>
        <n v="440"/>
        <n v="130"/>
        <n v="360"/>
        <n v="120"/>
        <n v="720"/>
        <n v="250"/>
      </sharedItems>
    </cacheField>
    <cacheField name="Harga Satuan" numFmtId="0">
      <sharedItems containsSemiMixedTypes="0" containsString="0" containsNumber="1" containsInteger="1" minValue="30000" maxValue="144000"/>
    </cacheField>
    <cacheField name="Total Penjualan" numFmtId="0">
      <sharedItems containsSemiMixedTypes="0" containsString="0" containsNumber="1" containsInteger="1" minValue="3900000" maxValue="97170000"/>
    </cacheField>
    <cacheField name="Diskon" numFmtId="9">
      <sharedItems containsSemiMixedTypes="0" containsString="0" containsNumber="1" minValue="0" maxValue="0.2"/>
    </cacheField>
    <cacheField name="Penjualan Bersih" numFmtId="0">
      <sharedItems containsSemiMixedTypes="0" containsString="0" containsNumber="1" containsInteger="1" minValue="3900000" maxValue="77736000"/>
    </cacheField>
    <cacheField name="Modal Satuan" numFmtId="0">
      <sharedItems containsSemiMixedTypes="0" containsString="0" containsNumber="1" containsInteger="1" minValue="25500" maxValue="122400"/>
    </cacheField>
    <cacheField name="Modal Bersih " numFmtId="0">
      <sharedItems containsSemiMixedTypes="0" containsString="0" containsNumber="1" containsInteger="1" minValue="3315000" maxValue="82594500"/>
    </cacheField>
    <cacheField name="Laba-Rugi" numFmtId="0">
      <sharedItems containsSemiMixedTypes="0" containsString="0" containsNumber="1" containsInteger="1" minValue="-4858500" maxValue="259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d v="2023-08-01T00:00:00"/>
    <s v="NF-01"/>
    <x v="0"/>
    <s v="B-05"/>
    <x v="0"/>
    <x v="0"/>
    <n v="96000"/>
    <n v="32640000"/>
    <n v="0.1"/>
    <n v="29376000"/>
    <n v="81600"/>
    <n v="27744000"/>
    <n v="1632000"/>
  </r>
  <r>
    <n v="2"/>
    <d v="2023-08-01T00:00:00"/>
    <s v="AN-02"/>
    <x v="1"/>
    <s v="B-10"/>
    <x v="1"/>
    <x v="1"/>
    <n v="30000"/>
    <n v="4200000"/>
    <n v="0"/>
    <n v="4200000"/>
    <n v="25500"/>
    <n v="3570000"/>
    <n v="630000"/>
  </r>
  <r>
    <n v="3"/>
    <d v="2023-08-01T00:00:00"/>
    <s v="CT-03"/>
    <x v="2"/>
    <s v="P-05"/>
    <x v="2"/>
    <x v="2"/>
    <n v="144000"/>
    <n v="80640000"/>
    <n v="0.2"/>
    <n v="64512000"/>
    <n v="122400"/>
    <n v="68544000"/>
    <n v="-4032000"/>
  </r>
  <r>
    <n v="4"/>
    <d v="2023-08-02T00:00:00"/>
    <s v="CT-03"/>
    <x v="2"/>
    <s v="P-10"/>
    <x v="3"/>
    <x v="3"/>
    <n v="123000"/>
    <n v="28290000"/>
    <n v="0.1"/>
    <n v="25461000"/>
    <n v="104550"/>
    <n v="24046500"/>
    <n v="1414500"/>
  </r>
  <r>
    <n v="5"/>
    <d v="2023-08-02T00:00:00"/>
    <s v="AN-02"/>
    <x v="1"/>
    <s v="B-05"/>
    <x v="0"/>
    <x v="4"/>
    <n v="96000"/>
    <n v="73920000"/>
    <n v="0.2"/>
    <n v="59136000"/>
    <n v="81600"/>
    <n v="62832000"/>
    <n v="-3696000"/>
  </r>
  <r>
    <n v="6"/>
    <d v="2023-08-02T00:00:00"/>
    <s v="NF-01"/>
    <x v="0"/>
    <s v="B-10"/>
    <x v="1"/>
    <x v="5"/>
    <n v="30000"/>
    <n v="23400000"/>
    <n v="0.2"/>
    <n v="18720000"/>
    <n v="25500"/>
    <n v="19890000"/>
    <n v="-1170000"/>
  </r>
  <r>
    <n v="7"/>
    <d v="2023-08-02T00:00:00"/>
    <s v="AN-02"/>
    <x v="1"/>
    <s v="P-05"/>
    <x v="2"/>
    <x v="6"/>
    <n v="144000"/>
    <n v="43200000"/>
    <n v="0.1"/>
    <n v="38880000"/>
    <n v="122400"/>
    <n v="36720000"/>
    <n v="2160000"/>
  </r>
  <r>
    <n v="8"/>
    <d v="2023-08-02T00:00:00"/>
    <s v="NF-01"/>
    <x v="0"/>
    <s v="P-10"/>
    <x v="3"/>
    <x v="7"/>
    <n v="123000"/>
    <n v="97170000"/>
    <n v="0.2"/>
    <n v="77736000"/>
    <n v="104550"/>
    <n v="82594500"/>
    <n v="-4858500"/>
  </r>
  <r>
    <n v="9"/>
    <d v="2023-08-02T00:00:00"/>
    <s v="CT-03"/>
    <x v="2"/>
    <s v="B-05"/>
    <x v="0"/>
    <x v="8"/>
    <n v="96000"/>
    <n v="42240000"/>
    <n v="0.1"/>
    <n v="38016000"/>
    <n v="81600"/>
    <n v="35904000"/>
    <n v="2112000"/>
  </r>
  <r>
    <n v="10"/>
    <d v="2023-08-02T00:00:00"/>
    <s v="AN-02"/>
    <x v="1"/>
    <s v="B-10"/>
    <x v="1"/>
    <x v="9"/>
    <n v="30000"/>
    <n v="3900000"/>
    <n v="0"/>
    <n v="3900000"/>
    <n v="25500"/>
    <n v="3315000"/>
    <n v="585000"/>
  </r>
  <r>
    <n v="11"/>
    <d v="2023-08-03T00:00:00"/>
    <s v="NF-01"/>
    <x v="0"/>
    <s v="P-05"/>
    <x v="2"/>
    <x v="10"/>
    <n v="144000"/>
    <n v="51840000"/>
    <n v="0.1"/>
    <n v="46656000"/>
    <n v="122400"/>
    <n v="44064000"/>
    <n v="2592000"/>
  </r>
  <r>
    <n v="12"/>
    <d v="2023-08-03T00:00:00"/>
    <s v="NF-01"/>
    <x v="0"/>
    <s v="P-10"/>
    <x v="3"/>
    <x v="11"/>
    <n v="123000"/>
    <n v="14760000"/>
    <n v="0"/>
    <n v="14760000"/>
    <n v="104550"/>
    <n v="12546000"/>
    <n v="2214000"/>
  </r>
  <r>
    <n v="13"/>
    <d v="2023-08-03T00:00:00"/>
    <s v="AN-02"/>
    <x v="1"/>
    <s v="P-05"/>
    <x v="2"/>
    <x v="11"/>
    <n v="144000"/>
    <n v="17280000"/>
    <n v="0"/>
    <n v="17280000"/>
    <n v="122400"/>
    <n v="14688000"/>
    <n v="2592000"/>
  </r>
  <r>
    <n v="14"/>
    <d v="2023-08-03T00:00:00"/>
    <s v="NF-01"/>
    <x v="0"/>
    <s v="P-10"/>
    <x v="3"/>
    <x v="12"/>
    <n v="123000"/>
    <n v="88560000"/>
    <n v="0.2"/>
    <n v="70848000"/>
    <n v="104550"/>
    <n v="75276000"/>
    <n v="-4428000"/>
  </r>
  <r>
    <n v="15"/>
    <d v="2023-08-03T00:00:00"/>
    <s v="CT-03"/>
    <x v="2"/>
    <s v="P-10"/>
    <x v="3"/>
    <x v="13"/>
    <n v="123000"/>
    <n v="30750000"/>
    <n v="0.1"/>
    <n v="27675000"/>
    <n v="104550"/>
    <n v="26137500"/>
    <n v="153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810BA-E8E2-4A7D-BADE-5B8022ABB57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0:W24" firstHeaderRow="0" firstDataRow="1" firstDataCol="1"/>
  <pivotFields count="14">
    <pivotField showAll="0"/>
    <pivotField numFmtId="16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numFmtId="9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6" baseField="0" baseItem="0"/>
    <dataField name="Sum of Harga Satua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CC0A3D-632A-4AE5-B983-BE25CCC02E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4:Y9" firstHeaderRow="0" firstDataRow="1" firstDataCol="1"/>
  <pivotFields count="14">
    <pivotField showAll="0"/>
    <pivotField numFmtId="16" showAll="0"/>
    <pivotField showAll="0"/>
    <pivotField showAll="0"/>
    <pivotField showAll="0"/>
    <pivotField axis="axisRow" showAll="0" sortType="descending">
      <items count="5">
        <item x="3"/>
        <item x="2"/>
        <item x="0"/>
        <item x="1"/>
        <item t="default"/>
      </items>
    </pivotField>
    <pivotField dataField="1" showAll="0" sortType="descending">
      <items count="15">
        <item x="7"/>
        <item x="5"/>
        <item x="4"/>
        <item x="12"/>
        <item x="2"/>
        <item x="8"/>
        <item x="10"/>
        <item x="0"/>
        <item x="6"/>
        <item x="13"/>
        <item x="3"/>
        <item x="1"/>
        <item x="9"/>
        <item x="11"/>
        <item t="default"/>
      </items>
    </pivotField>
    <pivotField dataField="1" showAll="0"/>
    <pivotField showAll="0"/>
    <pivotField numFmtId="9" showAll="0"/>
    <pivotField dataField="1" showAll="0"/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ty" fld="6" baseField="0" baseItem="0"/>
    <dataField name="Sum of Penjualan Bersih" fld="10" baseField="0" baseItem="0"/>
    <dataField name="Sum of Harga Satuan" fld="7" baseField="0" baseItem="0"/>
    <dataField name="Sum of Laba-Rugi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AA5CF-CF9B-4057-AF19-5B8BD4CE1CD8}">
  <dimension ref="A1:T18"/>
  <sheetViews>
    <sheetView workbookViewId="0">
      <selection activeCell="K10" sqref="K10"/>
    </sheetView>
  </sheetViews>
  <sheetFormatPr defaultRowHeight="14.5" x14ac:dyDescent="0.35"/>
  <cols>
    <col min="18" max="18" width="13.1796875" bestFit="1" customWidth="1"/>
    <col min="19" max="19" width="11.90625" bestFit="1" customWidth="1"/>
    <col min="20" max="20" width="12.36328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Q1" t="s">
        <v>2</v>
      </c>
    </row>
    <row r="2" spans="1:20" x14ac:dyDescent="0.35">
      <c r="A2">
        <v>1</v>
      </c>
      <c r="B2" s="1">
        <v>45139</v>
      </c>
      <c r="C2" t="s">
        <v>7</v>
      </c>
      <c r="E2" t="s">
        <v>10</v>
      </c>
      <c r="G2">
        <v>340</v>
      </c>
      <c r="J2" s="3"/>
      <c r="Q2" s="2" t="s">
        <v>23</v>
      </c>
      <c r="R2" s="2" t="s">
        <v>24</v>
      </c>
    </row>
    <row r="3" spans="1:20" x14ac:dyDescent="0.35">
      <c r="A3">
        <v>2</v>
      </c>
      <c r="B3" s="1">
        <v>45139</v>
      </c>
      <c r="C3" t="s">
        <v>8</v>
      </c>
      <c r="E3" t="s">
        <v>11</v>
      </c>
      <c r="G3">
        <v>140</v>
      </c>
      <c r="J3" s="3"/>
      <c r="Q3" s="2" t="s">
        <v>7</v>
      </c>
      <c r="R3" s="2" t="s">
        <v>25</v>
      </c>
    </row>
    <row r="4" spans="1:20" x14ac:dyDescent="0.35">
      <c r="A4">
        <v>3</v>
      </c>
      <c r="B4" s="1">
        <v>45139</v>
      </c>
      <c r="C4" t="s">
        <v>9</v>
      </c>
      <c r="E4" t="s">
        <v>12</v>
      </c>
      <c r="G4">
        <v>560</v>
      </c>
      <c r="J4" s="3"/>
      <c r="Q4" s="2" t="s">
        <v>8</v>
      </c>
      <c r="R4" s="2" t="s">
        <v>26</v>
      </c>
    </row>
    <row r="5" spans="1:20" x14ac:dyDescent="0.35">
      <c r="A5">
        <v>4</v>
      </c>
      <c r="B5" s="1">
        <v>45140</v>
      </c>
      <c r="C5" t="s">
        <v>9</v>
      </c>
      <c r="E5" t="s">
        <v>13</v>
      </c>
      <c r="G5">
        <v>230</v>
      </c>
      <c r="J5" s="3"/>
      <c r="Q5" s="2" t="s">
        <v>9</v>
      </c>
      <c r="R5" s="2" t="s">
        <v>27</v>
      </c>
    </row>
    <row r="6" spans="1:20" x14ac:dyDescent="0.35">
      <c r="A6">
        <v>5</v>
      </c>
      <c r="B6" s="1">
        <v>45140</v>
      </c>
      <c r="C6" t="s">
        <v>8</v>
      </c>
      <c r="E6" t="s">
        <v>10</v>
      </c>
      <c r="G6">
        <v>770</v>
      </c>
      <c r="J6" s="3"/>
    </row>
    <row r="7" spans="1:20" x14ac:dyDescent="0.35">
      <c r="A7">
        <v>6</v>
      </c>
      <c r="B7" s="1">
        <v>45140</v>
      </c>
      <c r="C7" t="s">
        <v>7</v>
      </c>
      <c r="E7" t="s">
        <v>11</v>
      </c>
      <c r="G7">
        <v>780</v>
      </c>
      <c r="J7" s="3"/>
    </row>
    <row r="8" spans="1:20" x14ac:dyDescent="0.35">
      <c r="A8">
        <v>7</v>
      </c>
      <c r="B8" s="1">
        <v>45140</v>
      </c>
      <c r="C8" t="s">
        <v>8</v>
      </c>
      <c r="E8" t="s">
        <v>12</v>
      </c>
      <c r="G8">
        <v>300</v>
      </c>
      <c r="J8" s="3"/>
      <c r="Q8" t="s">
        <v>4</v>
      </c>
    </row>
    <row r="9" spans="1:20" x14ac:dyDescent="0.35">
      <c r="A9">
        <v>8</v>
      </c>
      <c r="B9" s="1">
        <v>45140</v>
      </c>
      <c r="C9" t="s">
        <v>7</v>
      </c>
      <c r="E9" t="s">
        <v>13</v>
      </c>
      <c r="G9">
        <v>790</v>
      </c>
      <c r="J9" s="3"/>
      <c r="Q9" s="2" t="s">
        <v>23</v>
      </c>
      <c r="R9" s="2" t="s">
        <v>24</v>
      </c>
      <c r="S9" s="2" t="s">
        <v>16</v>
      </c>
      <c r="T9" s="2" t="s">
        <v>20</v>
      </c>
    </row>
    <row r="10" spans="1:20" x14ac:dyDescent="0.35">
      <c r="A10">
        <v>9</v>
      </c>
      <c r="B10" s="1">
        <v>45140</v>
      </c>
      <c r="C10" t="s">
        <v>9</v>
      </c>
      <c r="E10" t="s">
        <v>10</v>
      </c>
      <c r="G10">
        <v>440</v>
      </c>
      <c r="J10" s="3"/>
      <c r="Q10" s="2" t="s">
        <v>10</v>
      </c>
      <c r="R10" s="2" t="s">
        <v>28</v>
      </c>
      <c r="S10" s="2">
        <v>96000</v>
      </c>
      <c r="T10" s="2">
        <v>81600</v>
      </c>
    </row>
    <row r="11" spans="1:20" x14ac:dyDescent="0.35">
      <c r="A11">
        <v>10</v>
      </c>
      <c r="B11" s="1">
        <v>45140</v>
      </c>
      <c r="C11" t="s">
        <v>8</v>
      </c>
      <c r="E11" t="s">
        <v>11</v>
      </c>
      <c r="G11">
        <v>130</v>
      </c>
      <c r="J11" s="3"/>
      <c r="Q11" s="2" t="s">
        <v>11</v>
      </c>
      <c r="R11" s="2" t="s">
        <v>29</v>
      </c>
      <c r="S11" s="2">
        <v>30000</v>
      </c>
      <c r="T11" s="2">
        <v>25500</v>
      </c>
    </row>
    <row r="12" spans="1:20" x14ac:dyDescent="0.35">
      <c r="A12">
        <v>11</v>
      </c>
      <c r="B12" s="1">
        <v>45141</v>
      </c>
      <c r="C12" t="s">
        <v>7</v>
      </c>
      <c r="E12" t="s">
        <v>12</v>
      </c>
      <c r="G12">
        <v>360</v>
      </c>
      <c r="J12" s="3"/>
      <c r="Q12" s="2" t="s">
        <v>12</v>
      </c>
      <c r="R12" s="2" t="s">
        <v>30</v>
      </c>
      <c r="S12" s="2">
        <v>144000</v>
      </c>
      <c r="T12" s="2">
        <v>122400</v>
      </c>
    </row>
    <row r="13" spans="1:20" x14ac:dyDescent="0.35">
      <c r="A13">
        <v>12</v>
      </c>
      <c r="B13" s="1">
        <v>45141</v>
      </c>
      <c r="C13" t="s">
        <v>7</v>
      </c>
      <c r="E13" t="s">
        <v>13</v>
      </c>
      <c r="G13">
        <v>120</v>
      </c>
      <c r="J13" s="3"/>
      <c r="Q13" s="2" t="s">
        <v>13</v>
      </c>
      <c r="R13" s="2" t="s">
        <v>31</v>
      </c>
      <c r="S13" s="2">
        <v>123000</v>
      </c>
      <c r="T13" s="2">
        <v>104550</v>
      </c>
    </row>
    <row r="14" spans="1:20" x14ac:dyDescent="0.35">
      <c r="A14">
        <v>13</v>
      </c>
      <c r="B14" s="1">
        <v>45141</v>
      </c>
      <c r="C14" t="s">
        <v>8</v>
      </c>
      <c r="E14" t="s">
        <v>12</v>
      </c>
      <c r="G14">
        <v>120</v>
      </c>
      <c r="J14" s="3"/>
    </row>
    <row r="15" spans="1:20" x14ac:dyDescent="0.35">
      <c r="A15">
        <v>14</v>
      </c>
      <c r="B15" s="1">
        <v>45141</v>
      </c>
      <c r="C15" t="s">
        <v>7</v>
      </c>
      <c r="E15" t="s">
        <v>13</v>
      </c>
      <c r="G15">
        <v>720</v>
      </c>
      <c r="J15" s="3"/>
    </row>
    <row r="16" spans="1:20" x14ac:dyDescent="0.35">
      <c r="A16">
        <v>15</v>
      </c>
      <c r="B16" s="1">
        <v>45141</v>
      </c>
      <c r="C16" t="s">
        <v>9</v>
      </c>
      <c r="E16" t="s">
        <v>13</v>
      </c>
      <c r="G16">
        <v>250</v>
      </c>
      <c r="J16" s="3"/>
    </row>
    <row r="17" spans="1:10" x14ac:dyDescent="0.35">
      <c r="A17" s="6" t="s">
        <v>14</v>
      </c>
      <c r="B17" s="6"/>
      <c r="C17" s="6"/>
      <c r="D17" s="6"/>
      <c r="E17" s="6"/>
      <c r="F17" s="6"/>
      <c r="J17" s="3"/>
    </row>
    <row r="18" spans="1:10" x14ac:dyDescent="0.35">
      <c r="A18" s="6" t="s">
        <v>15</v>
      </c>
      <c r="B18" s="6"/>
      <c r="C18" s="6"/>
      <c r="D18" s="6"/>
      <c r="E18" s="6"/>
      <c r="F18" s="6"/>
      <c r="J18" s="3"/>
    </row>
  </sheetData>
  <mergeCells count="2">
    <mergeCell ref="A17:F17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F58D-3654-4B0F-8858-69AE0FD7D31F}">
  <dimension ref="A1:Y24"/>
  <sheetViews>
    <sheetView tabSelected="1" topLeftCell="D1" zoomScale="52" workbookViewId="0">
      <selection activeCell="AA21" sqref="AA21"/>
    </sheetView>
  </sheetViews>
  <sheetFormatPr defaultRowHeight="14.5" x14ac:dyDescent="0.35"/>
  <cols>
    <col min="3" max="3" width="14" bestFit="1" customWidth="1"/>
    <col min="4" max="4" width="14.7265625" bestFit="1" customWidth="1"/>
    <col min="5" max="5" width="11.36328125" bestFit="1" customWidth="1"/>
    <col min="6" max="6" width="13.1796875" bestFit="1" customWidth="1"/>
    <col min="8" max="8" width="11.90625" bestFit="1" customWidth="1"/>
    <col min="9" max="9" width="13.7265625" bestFit="1" customWidth="1"/>
    <col min="11" max="11" width="14.7265625" bestFit="1" customWidth="1"/>
    <col min="12" max="12" width="12.36328125" bestFit="1" customWidth="1"/>
    <col min="13" max="13" width="12.26953125" bestFit="1" customWidth="1"/>
    <col min="14" max="14" width="8.90625" bestFit="1" customWidth="1"/>
    <col min="18" max="18" width="13.1796875" bestFit="1" customWidth="1"/>
    <col min="19" max="19" width="11.90625" bestFit="1" customWidth="1"/>
    <col min="20" max="21" width="12.36328125" bestFit="1" customWidth="1"/>
    <col min="22" max="22" width="10.08984375" bestFit="1" customWidth="1"/>
    <col min="23" max="23" width="18.453125" bestFit="1" customWidth="1"/>
    <col min="24" max="24" width="21.36328125" bestFit="1" customWidth="1"/>
    <col min="25" max="25" width="21.453125" bestFit="1" customWidth="1"/>
    <col min="26" max="35" width="3.81640625" bestFit="1" customWidth="1"/>
    <col min="36" max="36" width="10.72656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Q1" t="s">
        <v>2</v>
      </c>
    </row>
    <row r="2" spans="1:25" x14ac:dyDescent="0.35">
      <c r="A2">
        <v>1</v>
      </c>
      <c r="B2" s="1">
        <v>45139</v>
      </c>
      <c r="C2" t="s">
        <v>7</v>
      </c>
      <c r="D2" t="str">
        <f>VLOOKUP($C$2:$C$16,$Q$3:$R$5,2,FALSE)</f>
        <v>Nandya Fikri</v>
      </c>
      <c r="E2" t="s">
        <v>10</v>
      </c>
      <c r="F2" t="str">
        <f>VLOOKUP($E$2:$E$16,$Q$10:$T$13,2,FALSE)</f>
        <v>Bodrex 1 Box</v>
      </c>
      <c r="G2">
        <v>340</v>
      </c>
      <c r="H2">
        <f>VLOOKUP($E$2:$E$16,$Q$10:$T$13,3,FALSE)</f>
        <v>96000</v>
      </c>
      <c r="I2">
        <f>G2*H2</f>
        <v>32640000</v>
      </c>
      <c r="J2" s="3">
        <f>IF(G2&gt;500,0.2,IF(G2&gt;200,0.1,0))</f>
        <v>0.1</v>
      </c>
      <c r="K2">
        <f>I2-(I2*J2)</f>
        <v>29376000</v>
      </c>
      <c r="L2">
        <f>VLOOKUP($E$2:$E$16,$Q$10:$T$13,4,FALSE)</f>
        <v>81600</v>
      </c>
      <c r="M2">
        <f>L2*G2</f>
        <v>27744000</v>
      </c>
      <c r="N2">
        <f>K2-M2</f>
        <v>1632000</v>
      </c>
      <c r="Q2" s="2" t="s">
        <v>23</v>
      </c>
      <c r="R2" s="2" t="s">
        <v>24</v>
      </c>
    </row>
    <row r="3" spans="1:25" x14ac:dyDescent="0.35">
      <c r="A3">
        <v>2</v>
      </c>
      <c r="B3" s="1">
        <v>45139</v>
      </c>
      <c r="C3" t="s">
        <v>8</v>
      </c>
      <c r="D3" t="str">
        <f t="shared" ref="D3:D16" si="0">VLOOKUP($C$2:$C$16,$Q$3:$R$5,2,FALSE)</f>
        <v>Anton Umar</v>
      </c>
      <c r="E3" t="s">
        <v>11</v>
      </c>
      <c r="F3" t="str">
        <f t="shared" ref="F3:F16" si="1">VLOOKUP($E$2:$E$16,$Q$10:$T$13,2,FALSE)</f>
        <v>Biogesic 1 Box</v>
      </c>
      <c r="G3">
        <v>140</v>
      </c>
      <c r="H3">
        <f t="shared" ref="H3:H16" si="2">VLOOKUP($E$2:$E$16,$Q$10:$T$13,3,FALSE)</f>
        <v>30000</v>
      </c>
      <c r="I3">
        <f t="shared" ref="I3:I16" si="3">G3*H3</f>
        <v>4200000</v>
      </c>
      <c r="J3" s="3">
        <f t="shared" ref="J3:J16" si="4">IF(G3&gt;500,0.2,IF(G3&gt;200,0.1,0))</f>
        <v>0</v>
      </c>
      <c r="K3">
        <f t="shared" ref="K3:K16" si="5">I3-(I3*J3)</f>
        <v>4200000</v>
      </c>
      <c r="L3">
        <f t="shared" ref="L3:L16" si="6">VLOOKUP($E$2:$E$16,$Q$10:$T$13,4,FALSE)</f>
        <v>25500</v>
      </c>
      <c r="M3">
        <f t="shared" ref="M3:M16" si="7">L3*G3</f>
        <v>3570000</v>
      </c>
      <c r="N3">
        <f t="shared" ref="N3:N16" si="8">K3-M3</f>
        <v>630000</v>
      </c>
      <c r="Q3" s="2" t="s">
        <v>7</v>
      </c>
      <c r="R3" s="2" t="s">
        <v>25</v>
      </c>
    </row>
    <row r="4" spans="1:25" x14ac:dyDescent="0.35">
      <c r="A4">
        <v>3</v>
      </c>
      <c r="B4" s="1">
        <v>45139</v>
      </c>
      <c r="C4" t="s">
        <v>9</v>
      </c>
      <c r="D4" t="str">
        <f t="shared" si="0"/>
        <v>Chairul Tan</v>
      </c>
      <c r="E4" t="s">
        <v>12</v>
      </c>
      <c r="F4" t="str">
        <f t="shared" si="1"/>
        <v>Panadol 1 Box</v>
      </c>
      <c r="G4">
        <v>560</v>
      </c>
      <c r="H4">
        <f t="shared" si="2"/>
        <v>144000</v>
      </c>
      <c r="I4">
        <f t="shared" si="3"/>
        <v>80640000</v>
      </c>
      <c r="J4" s="3">
        <f t="shared" si="4"/>
        <v>0.2</v>
      </c>
      <c r="K4">
        <f t="shared" si="5"/>
        <v>64512000</v>
      </c>
      <c r="L4">
        <f t="shared" si="6"/>
        <v>122400</v>
      </c>
      <c r="M4">
        <f t="shared" si="7"/>
        <v>68544000</v>
      </c>
      <c r="N4">
        <f t="shared" si="8"/>
        <v>-4032000</v>
      </c>
      <c r="Q4" s="2" t="s">
        <v>8</v>
      </c>
      <c r="R4" s="2" t="s">
        <v>26</v>
      </c>
      <c r="U4" s="4" t="s">
        <v>32</v>
      </c>
      <c r="V4" t="s">
        <v>35</v>
      </c>
      <c r="W4" t="s">
        <v>34</v>
      </c>
      <c r="X4" t="s">
        <v>36</v>
      </c>
      <c r="Y4" t="s">
        <v>37</v>
      </c>
    </row>
    <row r="5" spans="1:25" x14ac:dyDescent="0.35">
      <c r="A5">
        <v>4</v>
      </c>
      <c r="B5" s="1">
        <v>45140</v>
      </c>
      <c r="C5" t="s">
        <v>9</v>
      </c>
      <c r="D5" t="str">
        <f t="shared" si="0"/>
        <v>Chairul Tan</v>
      </c>
      <c r="E5" t="s">
        <v>13</v>
      </c>
      <c r="F5" t="str">
        <f t="shared" si="1"/>
        <v>Paramex 1 Box</v>
      </c>
      <c r="G5">
        <v>230</v>
      </c>
      <c r="H5">
        <f t="shared" si="2"/>
        <v>123000</v>
      </c>
      <c r="I5">
        <f t="shared" si="3"/>
        <v>28290000</v>
      </c>
      <c r="J5" s="3">
        <f t="shared" si="4"/>
        <v>0.1</v>
      </c>
      <c r="K5">
        <f t="shared" si="5"/>
        <v>25461000</v>
      </c>
      <c r="L5">
        <f t="shared" si="6"/>
        <v>104550</v>
      </c>
      <c r="M5">
        <f t="shared" si="7"/>
        <v>24046500</v>
      </c>
      <c r="N5">
        <f t="shared" si="8"/>
        <v>1414500</v>
      </c>
      <c r="Q5" s="2" t="s">
        <v>9</v>
      </c>
      <c r="R5" s="2" t="s">
        <v>27</v>
      </c>
      <c r="U5" s="5" t="s">
        <v>31</v>
      </c>
      <c r="V5">
        <v>2110</v>
      </c>
      <c r="W5">
        <v>216480000</v>
      </c>
      <c r="X5">
        <v>615000</v>
      </c>
      <c r="Y5">
        <v>-4120500</v>
      </c>
    </row>
    <row r="6" spans="1:25" x14ac:dyDescent="0.35">
      <c r="A6">
        <v>5</v>
      </c>
      <c r="B6" s="1">
        <v>45140</v>
      </c>
      <c r="C6" t="s">
        <v>8</v>
      </c>
      <c r="D6" t="str">
        <f t="shared" si="0"/>
        <v>Anton Umar</v>
      </c>
      <c r="E6" t="s">
        <v>10</v>
      </c>
      <c r="F6" t="str">
        <f t="shared" si="1"/>
        <v>Bodrex 1 Box</v>
      </c>
      <c r="G6">
        <v>770</v>
      </c>
      <c r="H6">
        <f t="shared" si="2"/>
        <v>96000</v>
      </c>
      <c r="I6">
        <f t="shared" si="3"/>
        <v>73920000</v>
      </c>
      <c r="J6" s="3">
        <f t="shared" si="4"/>
        <v>0.2</v>
      </c>
      <c r="K6">
        <f t="shared" si="5"/>
        <v>59136000</v>
      </c>
      <c r="L6">
        <f t="shared" si="6"/>
        <v>81600</v>
      </c>
      <c r="M6">
        <f t="shared" si="7"/>
        <v>62832000</v>
      </c>
      <c r="N6">
        <f t="shared" si="8"/>
        <v>-3696000</v>
      </c>
      <c r="U6" s="5" t="s">
        <v>30</v>
      </c>
      <c r="V6">
        <v>1340</v>
      </c>
      <c r="W6">
        <v>167328000</v>
      </c>
      <c r="X6">
        <v>576000</v>
      </c>
      <c r="Y6">
        <v>3312000</v>
      </c>
    </row>
    <row r="7" spans="1:25" x14ac:dyDescent="0.35">
      <c r="A7">
        <v>6</v>
      </c>
      <c r="B7" s="1">
        <v>45140</v>
      </c>
      <c r="C7" t="s">
        <v>7</v>
      </c>
      <c r="D7" t="str">
        <f t="shared" si="0"/>
        <v>Nandya Fikri</v>
      </c>
      <c r="E7" t="s">
        <v>11</v>
      </c>
      <c r="F7" t="str">
        <f t="shared" si="1"/>
        <v>Biogesic 1 Box</v>
      </c>
      <c r="G7">
        <v>780</v>
      </c>
      <c r="H7">
        <f t="shared" si="2"/>
        <v>30000</v>
      </c>
      <c r="I7">
        <f t="shared" si="3"/>
        <v>23400000</v>
      </c>
      <c r="J7" s="3">
        <f t="shared" si="4"/>
        <v>0.2</v>
      </c>
      <c r="K7">
        <f t="shared" si="5"/>
        <v>18720000</v>
      </c>
      <c r="L7">
        <f t="shared" si="6"/>
        <v>25500</v>
      </c>
      <c r="M7">
        <f t="shared" si="7"/>
        <v>19890000</v>
      </c>
      <c r="N7">
        <f t="shared" si="8"/>
        <v>-1170000</v>
      </c>
      <c r="U7" s="5" t="s">
        <v>28</v>
      </c>
      <c r="V7">
        <v>1550</v>
      </c>
      <c r="W7">
        <v>126528000</v>
      </c>
      <c r="X7">
        <v>288000</v>
      </c>
      <c r="Y7">
        <v>48000</v>
      </c>
    </row>
    <row r="8" spans="1:25" x14ac:dyDescent="0.35">
      <c r="A8">
        <v>7</v>
      </c>
      <c r="B8" s="1">
        <v>45140</v>
      </c>
      <c r="C8" t="s">
        <v>8</v>
      </c>
      <c r="D8" t="str">
        <f t="shared" si="0"/>
        <v>Anton Umar</v>
      </c>
      <c r="E8" t="s">
        <v>12</v>
      </c>
      <c r="F8" t="str">
        <f t="shared" si="1"/>
        <v>Panadol 1 Box</v>
      </c>
      <c r="G8">
        <v>300</v>
      </c>
      <c r="H8">
        <f t="shared" si="2"/>
        <v>144000</v>
      </c>
      <c r="I8">
        <f t="shared" si="3"/>
        <v>43200000</v>
      </c>
      <c r="J8" s="3">
        <f t="shared" si="4"/>
        <v>0.1</v>
      </c>
      <c r="K8">
        <f t="shared" si="5"/>
        <v>38880000</v>
      </c>
      <c r="L8">
        <f t="shared" si="6"/>
        <v>122400</v>
      </c>
      <c r="M8">
        <f t="shared" si="7"/>
        <v>36720000</v>
      </c>
      <c r="N8">
        <f t="shared" si="8"/>
        <v>2160000</v>
      </c>
      <c r="Q8" t="s">
        <v>4</v>
      </c>
      <c r="U8" s="5" t="s">
        <v>29</v>
      </c>
      <c r="V8">
        <v>1050</v>
      </c>
      <c r="W8">
        <v>26820000</v>
      </c>
      <c r="X8">
        <v>90000</v>
      </c>
      <c r="Y8">
        <v>45000</v>
      </c>
    </row>
    <row r="9" spans="1:25" x14ac:dyDescent="0.35">
      <c r="A9">
        <v>8</v>
      </c>
      <c r="B9" s="1">
        <v>45140</v>
      </c>
      <c r="C9" t="s">
        <v>7</v>
      </c>
      <c r="D9" t="str">
        <f t="shared" si="0"/>
        <v>Nandya Fikri</v>
      </c>
      <c r="E9" t="s">
        <v>13</v>
      </c>
      <c r="F9" t="str">
        <f t="shared" si="1"/>
        <v>Paramex 1 Box</v>
      </c>
      <c r="G9">
        <v>790</v>
      </c>
      <c r="H9">
        <f t="shared" si="2"/>
        <v>123000</v>
      </c>
      <c r="I9">
        <f t="shared" si="3"/>
        <v>97170000</v>
      </c>
      <c r="J9" s="3">
        <f t="shared" si="4"/>
        <v>0.2</v>
      </c>
      <c r="K9">
        <f t="shared" si="5"/>
        <v>77736000</v>
      </c>
      <c r="L9">
        <f t="shared" si="6"/>
        <v>104550</v>
      </c>
      <c r="M9">
        <f t="shared" si="7"/>
        <v>82594500</v>
      </c>
      <c r="N9">
        <f t="shared" si="8"/>
        <v>-4858500</v>
      </c>
      <c r="Q9" s="2" t="s">
        <v>23</v>
      </c>
      <c r="R9" s="2" t="s">
        <v>24</v>
      </c>
      <c r="S9" s="2" t="s">
        <v>16</v>
      </c>
      <c r="T9" s="2" t="s">
        <v>20</v>
      </c>
      <c r="U9" s="5" t="s">
        <v>33</v>
      </c>
      <c r="V9">
        <v>6050</v>
      </c>
      <c r="W9">
        <v>537156000</v>
      </c>
      <c r="X9">
        <v>1569000</v>
      </c>
      <c r="Y9">
        <v>-715500</v>
      </c>
    </row>
    <row r="10" spans="1:25" x14ac:dyDescent="0.35">
      <c r="A10">
        <v>9</v>
      </c>
      <c r="B10" s="1">
        <v>45140</v>
      </c>
      <c r="C10" t="s">
        <v>9</v>
      </c>
      <c r="D10" t="str">
        <f t="shared" si="0"/>
        <v>Chairul Tan</v>
      </c>
      <c r="E10" t="s">
        <v>10</v>
      </c>
      <c r="F10" t="str">
        <f t="shared" si="1"/>
        <v>Bodrex 1 Box</v>
      </c>
      <c r="G10">
        <v>440</v>
      </c>
      <c r="H10">
        <f t="shared" si="2"/>
        <v>96000</v>
      </c>
      <c r="I10">
        <f t="shared" si="3"/>
        <v>42240000</v>
      </c>
      <c r="J10" s="3">
        <f t="shared" si="4"/>
        <v>0.1</v>
      </c>
      <c r="K10">
        <f t="shared" si="5"/>
        <v>38016000</v>
      </c>
      <c r="L10">
        <f t="shared" si="6"/>
        <v>81600</v>
      </c>
      <c r="M10">
        <f t="shared" si="7"/>
        <v>35904000</v>
      </c>
      <c r="N10">
        <f t="shared" si="8"/>
        <v>2112000</v>
      </c>
      <c r="Q10" s="2" t="s">
        <v>10</v>
      </c>
      <c r="R10" s="2" t="s">
        <v>28</v>
      </c>
      <c r="S10" s="2">
        <v>96000</v>
      </c>
      <c r="T10" s="2">
        <v>81600</v>
      </c>
    </row>
    <row r="11" spans="1:25" x14ac:dyDescent="0.35">
      <c r="A11">
        <v>10</v>
      </c>
      <c r="B11" s="1">
        <v>45140</v>
      </c>
      <c r="C11" t="s">
        <v>8</v>
      </c>
      <c r="D11" t="str">
        <f t="shared" si="0"/>
        <v>Anton Umar</v>
      </c>
      <c r="E11" t="s">
        <v>11</v>
      </c>
      <c r="F11" t="str">
        <f t="shared" si="1"/>
        <v>Biogesic 1 Box</v>
      </c>
      <c r="G11">
        <v>130</v>
      </c>
      <c r="H11">
        <f t="shared" si="2"/>
        <v>30000</v>
      </c>
      <c r="I11">
        <f t="shared" si="3"/>
        <v>3900000</v>
      </c>
      <c r="J11" s="3">
        <f t="shared" si="4"/>
        <v>0</v>
      </c>
      <c r="K11">
        <f t="shared" si="5"/>
        <v>3900000</v>
      </c>
      <c r="L11">
        <f t="shared" si="6"/>
        <v>25500</v>
      </c>
      <c r="M11">
        <f t="shared" si="7"/>
        <v>3315000</v>
      </c>
      <c r="N11">
        <f t="shared" si="8"/>
        <v>585000</v>
      </c>
      <c r="Q11" s="2" t="s">
        <v>11</v>
      </c>
      <c r="R11" s="2" t="s">
        <v>29</v>
      </c>
      <c r="S11" s="2">
        <v>30000</v>
      </c>
      <c r="T11" s="2">
        <v>25500</v>
      </c>
    </row>
    <row r="12" spans="1:25" x14ac:dyDescent="0.35">
      <c r="A12">
        <v>11</v>
      </c>
      <c r="B12" s="1">
        <v>45141</v>
      </c>
      <c r="C12" t="s">
        <v>7</v>
      </c>
      <c r="D12" t="str">
        <f t="shared" si="0"/>
        <v>Nandya Fikri</v>
      </c>
      <c r="E12" t="s">
        <v>12</v>
      </c>
      <c r="F12" t="str">
        <f t="shared" si="1"/>
        <v>Panadol 1 Box</v>
      </c>
      <c r="G12">
        <v>360</v>
      </c>
      <c r="H12">
        <f t="shared" si="2"/>
        <v>144000</v>
      </c>
      <c r="I12">
        <f t="shared" si="3"/>
        <v>51840000</v>
      </c>
      <c r="J12" s="3">
        <f t="shared" si="4"/>
        <v>0.1</v>
      </c>
      <c r="K12">
        <f t="shared" si="5"/>
        <v>46656000</v>
      </c>
      <c r="L12">
        <f t="shared" si="6"/>
        <v>122400</v>
      </c>
      <c r="M12">
        <f t="shared" si="7"/>
        <v>44064000</v>
      </c>
      <c r="N12">
        <f t="shared" si="8"/>
        <v>2592000</v>
      </c>
      <c r="Q12" s="2" t="s">
        <v>12</v>
      </c>
      <c r="R12" s="2" t="s">
        <v>30</v>
      </c>
      <c r="S12" s="2">
        <v>144000</v>
      </c>
      <c r="T12" s="2">
        <v>122400</v>
      </c>
    </row>
    <row r="13" spans="1:25" x14ac:dyDescent="0.35">
      <c r="A13">
        <v>12</v>
      </c>
      <c r="B13" s="1">
        <v>45141</v>
      </c>
      <c r="C13" t="s">
        <v>7</v>
      </c>
      <c r="D13" t="str">
        <f t="shared" si="0"/>
        <v>Nandya Fikri</v>
      </c>
      <c r="E13" t="s">
        <v>13</v>
      </c>
      <c r="F13" t="str">
        <f t="shared" si="1"/>
        <v>Paramex 1 Box</v>
      </c>
      <c r="G13">
        <v>120</v>
      </c>
      <c r="H13">
        <f t="shared" si="2"/>
        <v>123000</v>
      </c>
      <c r="I13">
        <f t="shared" si="3"/>
        <v>14760000</v>
      </c>
      <c r="J13" s="3">
        <f t="shared" si="4"/>
        <v>0</v>
      </c>
      <c r="K13">
        <f t="shared" si="5"/>
        <v>14760000</v>
      </c>
      <c r="L13">
        <f t="shared" si="6"/>
        <v>104550</v>
      </c>
      <c r="M13">
        <f t="shared" si="7"/>
        <v>12546000</v>
      </c>
      <c r="N13">
        <f t="shared" si="8"/>
        <v>2214000</v>
      </c>
      <c r="Q13" s="2" t="s">
        <v>13</v>
      </c>
      <c r="R13" s="2" t="s">
        <v>31</v>
      </c>
      <c r="S13" s="2">
        <v>123000</v>
      </c>
      <c r="T13" s="2">
        <v>104550</v>
      </c>
    </row>
    <row r="14" spans="1:25" x14ac:dyDescent="0.35">
      <c r="A14">
        <v>13</v>
      </c>
      <c r="B14" s="1">
        <v>45141</v>
      </c>
      <c r="C14" t="s">
        <v>8</v>
      </c>
      <c r="D14" t="str">
        <f t="shared" si="0"/>
        <v>Anton Umar</v>
      </c>
      <c r="E14" t="s">
        <v>12</v>
      </c>
      <c r="F14" t="str">
        <f t="shared" si="1"/>
        <v>Panadol 1 Box</v>
      </c>
      <c r="G14">
        <v>120</v>
      </c>
      <c r="H14">
        <f t="shared" si="2"/>
        <v>144000</v>
      </c>
      <c r="I14">
        <f t="shared" si="3"/>
        <v>17280000</v>
      </c>
      <c r="J14" s="3">
        <f t="shared" si="4"/>
        <v>0</v>
      </c>
      <c r="K14">
        <f t="shared" si="5"/>
        <v>17280000</v>
      </c>
      <c r="L14">
        <f t="shared" si="6"/>
        <v>122400</v>
      </c>
      <c r="M14">
        <f t="shared" si="7"/>
        <v>14688000</v>
      </c>
      <c r="N14">
        <f t="shared" si="8"/>
        <v>2592000</v>
      </c>
    </row>
    <row r="15" spans="1:25" x14ac:dyDescent="0.35">
      <c r="A15">
        <v>14</v>
      </c>
      <c r="B15" s="1">
        <v>45141</v>
      </c>
      <c r="C15" t="s">
        <v>7</v>
      </c>
      <c r="D15" t="str">
        <f t="shared" si="0"/>
        <v>Nandya Fikri</v>
      </c>
      <c r="E15" t="s">
        <v>13</v>
      </c>
      <c r="F15" t="str">
        <f t="shared" si="1"/>
        <v>Paramex 1 Box</v>
      </c>
      <c r="G15">
        <v>720</v>
      </c>
      <c r="H15">
        <f t="shared" si="2"/>
        <v>123000</v>
      </c>
      <c r="I15">
        <f t="shared" si="3"/>
        <v>88560000</v>
      </c>
      <c r="J15" s="3">
        <f t="shared" si="4"/>
        <v>0.2</v>
      </c>
      <c r="K15">
        <f t="shared" si="5"/>
        <v>70848000</v>
      </c>
      <c r="L15">
        <f t="shared" si="6"/>
        <v>104550</v>
      </c>
      <c r="M15">
        <f t="shared" si="7"/>
        <v>75276000</v>
      </c>
      <c r="N15">
        <f t="shared" si="8"/>
        <v>-4428000</v>
      </c>
    </row>
    <row r="16" spans="1:25" x14ac:dyDescent="0.35">
      <c r="A16">
        <v>15</v>
      </c>
      <c r="B16" s="1">
        <v>45141</v>
      </c>
      <c r="C16" t="s">
        <v>9</v>
      </c>
      <c r="D16" t="str">
        <f t="shared" si="0"/>
        <v>Chairul Tan</v>
      </c>
      <c r="E16" t="s">
        <v>13</v>
      </c>
      <c r="F16" t="str">
        <f t="shared" si="1"/>
        <v>Paramex 1 Box</v>
      </c>
      <c r="G16">
        <v>250</v>
      </c>
      <c r="H16">
        <f t="shared" si="2"/>
        <v>123000</v>
      </c>
      <c r="I16">
        <f t="shared" si="3"/>
        <v>30750000</v>
      </c>
      <c r="J16" s="3">
        <f t="shared" si="4"/>
        <v>0.1</v>
      </c>
      <c r="K16">
        <f t="shared" si="5"/>
        <v>27675000</v>
      </c>
      <c r="L16">
        <f t="shared" si="6"/>
        <v>104550</v>
      </c>
      <c r="M16">
        <f t="shared" si="7"/>
        <v>26137500</v>
      </c>
      <c r="N16">
        <f t="shared" si="8"/>
        <v>1537500</v>
      </c>
    </row>
    <row r="17" spans="1:23" x14ac:dyDescent="0.35">
      <c r="A17" s="6" t="s">
        <v>14</v>
      </c>
      <c r="B17" s="6"/>
      <c r="C17" s="6"/>
      <c r="D17" s="6"/>
      <c r="E17" s="6"/>
      <c r="F17" s="6"/>
      <c r="G17">
        <f>SUM(G2:G16)</f>
        <v>6050</v>
      </c>
      <c r="H17">
        <f t="shared" ref="H17:N17" si="9">SUM(H2:H16)</f>
        <v>1569000</v>
      </c>
      <c r="I17">
        <f t="shared" si="9"/>
        <v>632790000</v>
      </c>
      <c r="J17" s="3">
        <f t="shared" si="9"/>
        <v>1.6000000000000003</v>
      </c>
      <c r="K17">
        <f t="shared" si="9"/>
        <v>537156000</v>
      </c>
      <c r="L17">
        <f t="shared" si="9"/>
        <v>1333650</v>
      </c>
      <c r="M17">
        <f t="shared" si="9"/>
        <v>537871500</v>
      </c>
      <c r="N17">
        <f t="shared" si="9"/>
        <v>-715500</v>
      </c>
    </row>
    <row r="18" spans="1:23" x14ac:dyDescent="0.35">
      <c r="A18" s="6" t="s">
        <v>15</v>
      </c>
      <c r="B18" s="6"/>
      <c r="C18" s="6"/>
      <c r="D18" s="6"/>
      <c r="E18" s="6"/>
      <c r="F18" s="6"/>
      <c r="G18">
        <f>AVERAGE(G2:G16)</f>
        <v>403.33333333333331</v>
      </c>
      <c r="H18">
        <f t="shared" ref="H18:N18" si="10">AVERAGE(H2:H16)</f>
        <v>104600</v>
      </c>
      <c r="I18">
        <f t="shared" si="10"/>
        <v>42186000</v>
      </c>
      <c r="J18" s="3">
        <f t="shared" si="10"/>
        <v>0.10666666666666669</v>
      </c>
      <c r="K18">
        <f t="shared" si="10"/>
        <v>35810400</v>
      </c>
      <c r="L18">
        <f t="shared" si="10"/>
        <v>88910</v>
      </c>
      <c r="M18">
        <f t="shared" si="10"/>
        <v>35858100</v>
      </c>
      <c r="N18">
        <f t="shared" si="10"/>
        <v>-47700</v>
      </c>
    </row>
    <row r="20" spans="1:23" x14ac:dyDescent="0.35">
      <c r="U20" s="4" t="s">
        <v>32</v>
      </c>
      <c r="V20" t="s">
        <v>35</v>
      </c>
      <c r="W20" t="s">
        <v>36</v>
      </c>
    </row>
    <row r="21" spans="1:23" x14ac:dyDescent="0.35">
      <c r="U21" s="5" t="s">
        <v>26</v>
      </c>
      <c r="V21">
        <v>1460</v>
      </c>
      <c r="W21">
        <v>444000</v>
      </c>
    </row>
    <row r="22" spans="1:23" x14ac:dyDescent="0.35">
      <c r="U22" s="5" t="s">
        <v>27</v>
      </c>
      <c r="V22">
        <v>1480</v>
      </c>
      <c r="W22">
        <v>486000</v>
      </c>
    </row>
    <row r="23" spans="1:23" x14ac:dyDescent="0.35">
      <c r="U23" s="5" t="s">
        <v>25</v>
      </c>
      <c r="V23">
        <v>3110</v>
      </c>
      <c r="W23">
        <v>639000</v>
      </c>
    </row>
    <row r="24" spans="1:23" x14ac:dyDescent="0.35">
      <c r="U24" s="5" t="s">
        <v>33</v>
      </c>
      <c r="V24">
        <v>6050</v>
      </c>
      <c r="W24">
        <v>1569000</v>
      </c>
    </row>
  </sheetData>
  <mergeCells count="2">
    <mergeCell ref="A17:F17"/>
    <mergeCell ref="A18:F18"/>
  </mergeCells>
  <phoneticPr fontId="1" type="noConversion"/>
  <conditionalFormatting sqref="N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2023-04-17T13:03:18Z</dcterms:created>
  <dcterms:modified xsi:type="dcterms:W3CDTF">2023-04-18T10:02:51Z</dcterms:modified>
</cp:coreProperties>
</file>